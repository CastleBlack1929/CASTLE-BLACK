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f6e09561a1a0774/Documents/"/>
    </mc:Choice>
  </mc:AlternateContent>
  <xr:revisionPtr revIDLastSave="22" documentId="8_{1E6EEF84-73BB-6645-BC78-DD31AB2D24F8}" xr6:coauthVersionLast="47" xr6:coauthVersionMax="47" xr10:uidLastSave="{5C180F51-4157-3A46-9925-1A4D341BC91A}"/>
  <bookViews>
    <workbookView xWindow="380" yWindow="0" windowWidth="28040" windowHeight="16780" xr2:uid="{9525C38D-4750-1140-A017-34888F4AFAE9}"/>
  </bookViews>
  <sheets>
    <sheet name="Hoja1" sheetId="1" r:id="rId1"/>
    <sheet name="tabla_de_socios" sheetId="3" r:id="rId2"/>
  </sheets>
  <definedNames>
    <definedName name="DatosExternos_1" localSheetId="1" hidden="1">tabla_de_socios!$A$1:$T$11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" l="1" a="1"/>
  <c r="B2" i="1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B690600-C84B-4641-8FA4-2B0964CC9C30}" keepAlive="1" name="Consulta - SOCIOS" description="Conexión a la consulta 'SOCIOS' en el libro." type="5" refreshedVersion="0" background="1" saveData="1">
    <dbPr connection="Provider=Microsoft.Mashup.OleDb.1;Data Source=$Workbook$;Location=SOCIOS;Extended Properties=&quot;&quot;" command="SELECT * FROM [SOCIOS]"/>
  </connection>
  <connection id="2" xr16:uid="{5F26DCC1-69F1-9D41-AB83-5ED9D165C49B}" keepAlive="1" name="Consulta - tabla_de_socios" description="Conexión a la consulta 'tabla_de_socios' en el libro." type="5" refreshedVersion="8" background="1" saveData="1">
    <dbPr connection="Provider=Microsoft.Mashup.OleDb.1;Data Source=$Workbook$;Location=tabla_de_socios;Extended Properties=&quot;&quot;" command="SELECT * FROM [tabla_de_socios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<sst xmlns="http://schemas.openxmlformats.org/spreadsheetml/2006/main" count="113" uniqueCount="80">
  <si>
    <t>N.</t>
  </si>
  <si>
    <t>SOCIOS</t>
  </si>
  <si>
    <t>REGION</t>
  </si>
  <si>
    <t>CEDULA, NIT</t>
  </si>
  <si>
    <t>TELEFONO</t>
  </si>
  <si>
    <t>CORREO CONTACTO</t>
  </si>
  <si>
    <t>UNION</t>
  </si>
  <si>
    <t>USUARIOS</t>
  </si>
  <si>
    <t>CNTRASEÑA</t>
  </si>
  <si>
    <t>USUARIOS (X)2</t>
  </si>
  <si>
    <t>CONTRASEÑA(X)</t>
  </si>
  <si>
    <t xml:space="preserve">APORTE </t>
  </si>
  <si>
    <t xml:space="preserve">PATRIMONIO </t>
  </si>
  <si>
    <t>APORTADO USD</t>
  </si>
  <si>
    <t>PATRIMONIO  USD</t>
  </si>
  <si>
    <t>NIVEL</t>
  </si>
  <si>
    <t>UTILIDAD</t>
  </si>
  <si>
    <t xml:space="preserve">CRCMNT </t>
  </si>
  <si>
    <t>UTILIDAD L</t>
  </si>
  <si>
    <t>CRCMNT L</t>
  </si>
  <si>
    <t>0.1</t>
  </si>
  <si>
    <t>JUAN FEDERICO PERALTA GONZALEZ</t>
  </si>
  <si>
    <t>COP</t>
  </si>
  <si>
    <t>1141514508</t>
  </si>
  <si>
    <t>(-57-)3102886062</t>
  </si>
  <si>
    <t>federico2006.8@gmail.com</t>
  </si>
  <si>
    <t>jfpg2006.cb.0@gmail.com</t>
  </si>
  <si>
    <t>Jfpg/2006.cb.</t>
  </si>
  <si>
    <t>…</t>
  </si>
  <si>
    <t>CCC</t>
  </si>
  <si>
    <t>0.2</t>
  </si>
  <si>
    <t>ALEIDA YANIRA GONZALEZ</t>
  </si>
  <si>
    <t>52332911</t>
  </si>
  <si>
    <t>(-57-)3158005121</t>
  </si>
  <si>
    <t>alyago@hotmail.com</t>
  </si>
  <si>
    <t>aygr1975.cb@gmail.com</t>
  </si>
  <si>
    <t>Aygr/1975.cb.</t>
  </si>
  <si>
    <t>AA</t>
  </si>
  <si>
    <t>0.3</t>
  </si>
  <si>
    <t>DAVID SANTIAGO GONZALEZ</t>
  </si>
  <si>
    <t>(-57-)3152068046</t>
  </si>
  <si>
    <t>davisgonzalearea@gmail.com</t>
  </si>
  <si>
    <t>Sandago.02</t>
  </si>
  <si>
    <t>CC</t>
  </si>
  <si>
    <t>0.4</t>
  </si>
  <si>
    <t>SANDRA CAMILA GONZALEZ</t>
  </si>
  <si>
    <t>(-57-)3152357360</t>
  </si>
  <si>
    <t>camilagonzalezadmi@gmail.com</t>
  </si>
  <si>
    <t>scgr1998.cb@gmail.com</t>
  </si>
  <si>
    <t>Scgr/1998.cb.</t>
  </si>
  <si>
    <t>0.5</t>
  </si>
  <si>
    <t>JOSE ANTONIO ENCINAS/MIGUEL ANGEL ENCINAS</t>
  </si>
  <si>
    <t>(-57-)3103224843</t>
  </si>
  <si>
    <t>forrtapetes@hotmail.com</t>
  </si>
  <si>
    <t>jaen1971.cb@gmail.com</t>
  </si>
  <si>
    <t>Jaen/1971.cb.</t>
  </si>
  <si>
    <t>Codigo21.</t>
  </si>
  <si>
    <t>0.6</t>
  </si>
  <si>
    <t>VALERIA SOFIA PERALTA (MARTIN PERALTA)</t>
  </si>
  <si>
    <t>(-57-)3212035038</t>
  </si>
  <si>
    <t>vspg2008.cb@gmail.com</t>
  </si>
  <si>
    <t>Vspg/2008.cb.</t>
  </si>
  <si>
    <t>B</t>
  </si>
  <si>
    <t>0.7</t>
  </si>
  <si>
    <t>MARISOL GONZALEZ RODRIGUEZ</t>
  </si>
  <si>
    <t>(-57-)3102113788</t>
  </si>
  <si>
    <t>mgr1981.cb@gmail.com</t>
  </si>
  <si>
    <t>MMgr/1981.cb.</t>
  </si>
  <si>
    <t>0.8</t>
  </si>
  <si>
    <t>CHRISTOPER GOMEZ GONZALEZ/ MARIA PAULA GOMEZ GONZALEZ</t>
  </si>
  <si>
    <t>(-57-)3182972339</t>
  </si>
  <si>
    <t>cgg2004.cb@gmail.com</t>
  </si>
  <si>
    <t>CCgg/2004.cb.</t>
  </si>
  <si>
    <t>0.9</t>
  </si>
  <si>
    <t>CARROCERIAS JGB (ALEIDA YANIRA GONZALEZ)</t>
  </si>
  <si>
    <t>830103701-9</t>
  </si>
  <si>
    <t>(-57-)6017243390</t>
  </si>
  <si>
    <t>jgb1975.cb@gmail.com</t>
  </si>
  <si>
    <t>JJgb/1975.cb.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</si>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</sst>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NumberFormat="1"/>
    <xf numFmtId="14" fontId="0" fillId="0" borderId="0" xfId="0" applyNumberFormat="1"/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left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11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/mm/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theme" Target="theme/theme1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2" xr16:uid="{B7C6D37F-35AF-6842-A791-A000FC6B7CFF}" autoFormatId="16" applyNumberFormats="0" applyBorderFormats="0" applyFontFormats="0" applyPatternFormats="0" applyAlignmentFormats="0" applyWidthHeightFormats="0">
  <queryTableRefresh nextId="21">
    <queryTableFields count="20">
      <queryTableField id="1" name="N." tableColumnId="1"/>
      <queryTableField id="2" name="SOCIOS" tableColumnId="2"/>
      <queryTableField id="3" name="REGION" tableColumnId="3"/>
      <queryTableField id="4" name="CEDULA, NIT" tableColumnId="4"/>
      <queryTableField id="5" name="TELEFONO" tableColumnId="5"/>
      <queryTableField id="6" name="CORREO CONTACTO" tableColumnId="6"/>
      <queryTableField id="7" name="UNION" tableColumnId="7"/>
      <queryTableField id="8" name="USUARIOS" tableColumnId="8"/>
      <queryTableField id="9" name="CNTRASEÑA" tableColumnId="9"/>
      <queryTableField id="10" name="USUARIOS (X)2" tableColumnId="10"/>
      <queryTableField id="11" name="CONTRASEÑA(X)" tableColumnId="11"/>
      <queryTableField id="12" name="APORTE " tableColumnId="12"/>
      <queryTableField id="13" name="PATRIMONIO " tableColumnId="13"/>
      <queryTableField id="14" name="APORTADO USD" tableColumnId="14"/>
      <queryTableField id="15" name="PATRIMONIO  USD" tableColumnId="15"/>
      <queryTableField id="16" name="NIVEL" tableColumnId="16"/>
      <queryTableField id="17" name="UTILIDAD" tableColumnId="17"/>
      <queryTableField id="18" name="CRCMNT " tableColumnId="18"/>
      <queryTableField id="19" name="UTILIDAD L" tableColumnId="19"/>
      <queryTableField id="20" name="CRCMNT L" tableColumnId="2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CA8A049-D665-EC4B-8B26-8F81659C8D28}" name="tabla_de_socios" displayName="tabla_de_socios" ref="A1:T11" tableType="queryTable" totalsRowShown="0">
  <autoFilter ref="A1:T11" xr:uid="{8CA8A049-D665-EC4B-8B26-8F81659C8D28}"/>
  <tableColumns count="20">
    <tableColumn id="1" xr3:uid="{4C02D8E2-38B4-6340-9C2D-2EA463FAF157}" uniqueName="1" name="N." queryTableFieldId="1" dataDxfId="10"/>
    <tableColumn id="2" xr3:uid="{A9D2CE53-AF0C-3446-8B32-B42A1CE58466}" uniqueName="2" name="SOCIOS" queryTableFieldId="2" dataDxfId="9"/>
    <tableColumn id="3" xr3:uid="{9AF7758A-3158-6F4B-BCB0-2E54AD3655AC}" uniqueName="3" name="REGION" queryTableFieldId="3" dataDxfId="8"/>
    <tableColumn id="4" xr3:uid="{D1FCD215-22CB-4D44-93E8-864A0435D34D}" uniqueName="4" name="CEDULA, NIT" queryTableFieldId="4"/>
    <tableColumn id="5" xr3:uid="{2C3CF3E1-E81C-6446-8D0E-1BC77288D69C}" uniqueName="5" name="TELEFONO" queryTableFieldId="5" dataDxfId="7"/>
    <tableColumn id="6" xr3:uid="{30FF661B-EFD8-FE4A-BE49-3028BDA98078}" uniqueName="6" name="CORREO CONTACTO" queryTableFieldId="6" dataDxfId="6"/>
    <tableColumn id="7" xr3:uid="{0D2A860D-3587-9B40-BDAA-E5253B5BE046}" uniqueName="7" name="UNION" queryTableFieldId="7" dataDxfId="5"/>
    <tableColumn id="8" xr3:uid="{2E607D99-4CEC-2742-94B8-C2E1B3FA1881}" uniqueName="8" name="USUARIOS" queryTableFieldId="8" dataDxfId="4"/>
    <tableColumn id="9" xr3:uid="{5429AD07-B76D-EA49-A61E-19B429FD2CDB}" uniqueName="9" name="CNTRASEÑA" queryTableFieldId="9" dataDxfId="3"/>
    <tableColumn id="10" xr3:uid="{087AA8FB-DA90-E447-BF3F-445670336E12}" uniqueName="10" name="USUARIOS (X)2" queryTableFieldId="10" dataDxfId="2"/>
    <tableColumn id="11" xr3:uid="{17073DC3-D716-9B45-8C55-045C49D51B3A}" uniqueName="11" name="CONTRASEÑA(X)" queryTableFieldId="11" dataDxfId="1"/>
    <tableColumn id="12" xr3:uid="{D854F25C-9BE0-FA49-806D-E45C896534F6}" uniqueName="12" name="APORTE " queryTableFieldId="12"/>
    <tableColumn id="13" xr3:uid="{E0FBEC4A-A9B9-0040-8276-85128EA526A9}" uniqueName="13" name="PATRIMONIO " queryTableFieldId="13"/>
    <tableColumn id="14" xr3:uid="{D93800BC-6088-DC4D-97A5-55D9EE5D113A}" uniqueName="14" name="APORTADO USD" queryTableFieldId="14"/>
    <tableColumn id="15" xr3:uid="{D1CB071A-8052-4C41-976C-F6EB2B110EE1}" uniqueName="15" name="PATRIMONIO  USD" queryTableFieldId="15"/>
    <tableColumn id="16" xr3:uid="{44127AE9-8940-4547-8C4A-408C71ABB56F}" uniqueName="16" name="NIVEL" queryTableFieldId="16" dataDxfId="0"/>
    <tableColumn id="17" xr3:uid="{85D453FF-CDB2-5043-996F-AB690B9F17D9}" uniqueName="17" name="UTILIDAD" queryTableFieldId="17"/>
    <tableColumn id="18" xr3:uid="{AE1515AE-5284-F94C-9194-D01BC0DBEFA4}" uniqueName="18" name="CRCMNT " queryTableFieldId="18"/>
    <tableColumn id="19" xr3:uid="{91524494-80F3-2149-80E9-E5E03CBE3C39}" uniqueName="19" name="UTILIDAD L" queryTableFieldId="19"/>
    <tableColumn id="20" xr3:uid="{84428972-6B16-4840-A88F-5953E57D718E}" uniqueName="20" name="CRCMNT L" queryTableFieldId="2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C1726-3A8C-484D-85FD-B9F363C82B72}">
  <dimension ref="B2:C27"/>
  <sheetViews>
    <sheetView tabSelected="1" zoomScale="150" workbookViewId="0">
      <selection activeCell="C13" sqref="C13"/>
    </sheetView>
  </sheetViews>
  <sheetFormatPr baseColWidth="10" defaultRowHeight="16" x14ac:dyDescent="0.2"/>
  <cols>
    <col min="1" max="1" width="10.83203125" style="3"/>
    <col min="2" max="2" width="24" style="5" customWidth="1"/>
    <col min="3" max="3" width="22.1640625" style="5" customWidth="1"/>
    <col min="4" max="16384" width="10.83203125" style="3"/>
  </cols>
  <sheetData>
    <row r="2" spans="2:3" x14ac:dyDescent="0.2">
      <c r="B2" s="4" t="str" cm="1">
        <f t="array" ref="B2:C27">tabla_de_socios!H1:I26</f>
        <v>USUARIOS</v>
      </c>
      <c r="C2" s="4" t="str">
        <v>CNTRASEÑA</v>
      </c>
    </row>
    <row r="3" spans="2:3" x14ac:dyDescent="0.2">
      <c r="B3" s="5" t="str">
        <v>jfpg2006.cb.0@gmail.com</v>
      </c>
      <c r="C3" s="5" t="str">
        <v>Jfpg/2006.cb.</v>
      </c>
    </row>
    <row r="4" spans="2:3" x14ac:dyDescent="0.2">
      <c r="B4" s="5" t="str">
        <v>aygr1975.cb@gmail.com</v>
      </c>
      <c r="C4" s="5" t="str">
        <v>Aygr/1975.cb.</v>
      </c>
    </row>
    <row r="5" spans="2:3" x14ac:dyDescent="0.2">
      <c r="B5" s="5" t="str">
        <v>…</v>
      </c>
      <c r="C5" s="5" t="str">
        <v>…</v>
      </c>
    </row>
    <row r="6" spans="2:3" x14ac:dyDescent="0.2">
      <c r="B6" s="5" t="str">
        <v>scgr1998.cb@gmail.com</v>
      </c>
      <c r="C6" s="5" t="str">
        <v>Scgr/1998.cb.</v>
      </c>
    </row>
    <row r="7" spans="2:3" x14ac:dyDescent="0.2">
      <c r="B7" s="5" t="str">
        <v>jaen1971.cb@gmail.com</v>
      </c>
      <c r="C7" s="5" t="str">
        <v>Jaen/1971.cb.</v>
      </c>
    </row>
    <row r="8" spans="2:3" x14ac:dyDescent="0.2">
      <c r="B8" s="5" t="str">
        <v>vspg2008.cb@gmail.com</v>
      </c>
      <c r="C8" s="5" t="str">
        <v>Vspg/2008.cb.</v>
      </c>
    </row>
    <row r="9" spans="2:3" x14ac:dyDescent="0.2">
      <c r="B9" s="5" t="str">
        <v>mgr1981.cb@gmail.com</v>
      </c>
      <c r="C9" s="5" t="str">
        <v>MMgr/1981.cb.</v>
      </c>
    </row>
    <row r="10" spans="2:3" x14ac:dyDescent="0.2">
      <c r="B10" s="5" t="str">
        <v>cgg2004.cb@gmail.com</v>
      </c>
      <c r="C10" s="5" t="str">
        <v>CCgg/2004.cb.</v>
      </c>
    </row>
    <row r="11" spans="2:3" x14ac:dyDescent="0.2">
      <c r="B11" s="5" t="str">
        <v>jgb1975.cb@gmail.com</v>
      </c>
      <c r="C11" s="5" t="str">
        <v>JJgb/1975.cb.</v>
      </c>
    </row>
    <row r="12" spans="2:3" x14ac:dyDescent="0.2">
      <c r="B12" s="5">
        <v>0</v>
      </c>
      <c r="C12" s="5">
        <v>0</v>
      </c>
    </row>
    <row r="13" spans="2:3" x14ac:dyDescent="0.2">
      <c r="B13" s="5">
        <v>0</v>
      </c>
      <c r="C13" s="5">
        <v>0</v>
      </c>
    </row>
    <row r="14" spans="2:3" x14ac:dyDescent="0.2">
      <c r="B14" s="5">
        <v>0</v>
      </c>
      <c r="C14" s="5">
        <v>0</v>
      </c>
    </row>
    <row r="15" spans="2:3" x14ac:dyDescent="0.2">
      <c r="B15" s="5">
        <v>0</v>
      </c>
      <c r="C15" s="5">
        <v>0</v>
      </c>
    </row>
    <row r="16" spans="2:3" x14ac:dyDescent="0.2">
      <c r="B16" s="5">
        <v>0</v>
      </c>
      <c r="C16" s="5">
        <v>0</v>
      </c>
    </row>
    <row r="17" spans="2:3" x14ac:dyDescent="0.2">
      <c r="B17" s="5">
        <v>0</v>
      </c>
      <c r="C17" s="5">
        <v>0</v>
      </c>
    </row>
    <row r="18" spans="2:3" x14ac:dyDescent="0.2">
      <c r="B18" s="5">
        <v>0</v>
      </c>
      <c r="C18" s="5">
        <v>0</v>
      </c>
    </row>
    <row r="19" spans="2:3" x14ac:dyDescent="0.2">
      <c r="B19" s="5">
        <v>0</v>
      </c>
      <c r="C19" s="5">
        <v>0</v>
      </c>
    </row>
    <row r="20" spans="2:3" x14ac:dyDescent="0.2">
      <c r="B20" s="5">
        <v>0</v>
      </c>
      <c r="C20" s="5">
        <v>0</v>
      </c>
    </row>
    <row r="21" spans="2:3" x14ac:dyDescent="0.2">
      <c r="B21" s="5">
        <v>0</v>
      </c>
      <c r="C21" s="5">
        <v>0</v>
      </c>
    </row>
    <row r="22" spans="2:3" x14ac:dyDescent="0.2">
      <c r="B22" s="5">
        <v>0</v>
      </c>
      <c r="C22" s="5">
        <v>0</v>
      </c>
    </row>
    <row r="23" spans="2:3" x14ac:dyDescent="0.2">
      <c r="B23" s="5">
        <v>0</v>
      </c>
      <c r="C23" s="5">
        <v>0</v>
      </c>
    </row>
    <row r="24" spans="2:3" x14ac:dyDescent="0.2">
      <c r="B24" s="5">
        <v>0</v>
      </c>
      <c r="C24" s="5">
        <v>0</v>
      </c>
    </row>
    <row r="25" spans="2:3" x14ac:dyDescent="0.2">
      <c r="B25" s="5">
        <v>0</v>
      </c>
      <c r="C25" s="5">
        <v>0</v>
      </c>
    </row>
    <row r="26" spans="2:3" x14ac:dyDescent="0.2">
      <c r="B26" s="5">
        <v>0</v>
      </c>
      <c r="C26" s="5">
        <v>0</v>
      </c>
    </row>
    <row r="27" spans="2:3" x14ac:dyDescent="0.2">
      <c r="B27" s="5">
        <v>0</v>
      </c>
      <c r="C27" s="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23B521-1577-0E49-A7EE-166C24C5ECB4}">
  <dimension ref="A1:T11"/>
  <sheetViews>
    <sheetView workbookViewId="0">
      <selection activeCell="B14" sqref="B14"/>
    </sheetView>
  </sheetViews>
  <sheetFormatPr baseColWidth="10" defaultRowHeight="16" x14ac:dyDescent="0.2"/>
  <cols>
    <col min="1" max="1" width="5.5" bestFit="1" customWidth="1"/>
    <col min="2" max="2" width="56" bestFit="1" customWidth="1"/>
    <col min="3" max="3" width="10.33203125" bestFit="1" customWidth="1"/>
    <col min="4" max="4" width="14.1640625" bestFit="1" customWidth="1"/>
    <col min="5" max="5" width="15.83203125" bestFit="1" customWidth="1"/>
    <col min="6" max="6" width="28.1640625" bestFit="1" customWidth="1"/>
    <col min="7" max="7" width="9.33203125" bestFit="1" customWidth="1"/>
    <col min="8" max="8" width="22.33203125" bestFit="1" customWidth="1"/>
    <col min="9" max="9" width="13.83203125" customWidth="1"/>
    <col min="10" max="10" width="25.5" bestFit="1" customWidth="1"/>
    <col min="11" max="11" width="17.5" customWidth="1"/>
    <col min="12" max="12" width="10.6640625" bestFit="1" customWidth="1"/>
    <col min="13" max="13" width="14.83203125" bestFit="1" customWidth="1"/>
    <col min="14" max="14" width="17" bestFit="1" customWidth="1"/>
    <col min="15" max="15" width="18.83203125" bestFit="1" customWidth="1"/>
    <col min="16" max="16" width="8.6640625" bestFit="1" customWidth="1"/>
    <col min="17" max="17" width="11.5" bestFit="1" customWidth="1"/>
    <col min="18" max="19" width="12.83203125" bestFit="1" customWidth="1"/>
    <col min="20" max="20" width="12.5" bestFit="1" customWidth="1"/>
  </cols>
  <sheetData>
    <row r="1" spans="1:2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2">
      <c r="A2" s="1" t="s">
        <v>20</v>
      </c>
      <c r="B2" s="1" t="s">
        <v>21</v>
      </c>
      <c r="C2" s="1" t="s">
        <v>22</v>
      </c>
      <c r="D2" t="s">
        <v>23</v>
      </c>
      <c r="E2" s="1" t="s">
        <v>24</v>
      </c>
      <c r="F2" s="1" t="s">
        <v>25</v>
      </c>
      <c r="G2" s="2">
        <v>45012</v>
      </c>
      <c r="H2" s="1" t="s">
        <v>26</v>
      </c>
      <c r="I2" s="1" t="s">
        <v>27</v>
      </c>
      <c r="J2" s="1" t="s">
        <v>28</v>
      </c>
      <c r="K2" s="1" t="s">
        <v>28</v>
      </c>
      <c r="L2">
        <v>1340000</v>
      </c>
      <c r="M2">
        <v>1541698.72</v>
      </c>
      <c r="N2">
        <v>330.01</v>
      </c>
      <c r="O2">
        <v>345.44</v>
      </c>
      <c r="P2" s="1" t="s">
        <v>29</v>
      </c>
      <c r="Q2">
        <v>15.430000000000007</v>
      </c>
      <c r="R2">
        <v>4.6756158904275757E-2</v>
      </c>
      <c r="S2">
        <v>201698.71999999997</v>
      </c>
      <c r="T2">
        <v>0.15052143283582087</v>
      </c>
    </row>
    <row r="3" spans="1:20" x14ac:dyDescent="0.2">
      <c r="A3" s="1" t="s">
        <v>30</v>
      </c>
      <c r="B3" s="1" t="s">
        <v>31</v>
      </c>
      <c r="C3" s="1" t="s">
        <v>22</v>
      </c>
      <c r="D3" t="s">
        <v>32</v>
      </c>
      <c r="E3" s="1" t="s">
        <v>33</v>
      </c>
      <c r="F3" s="1" t="s">
        <v>34</v>
      </c>
      <c r="G3" s="2">
        <v>45288</v>
      </c>
      <c r="H3" s="1" t="s">
        <v>35</v>
      </c>
      <c r="I3" s="1" t="s">
        <v>36</v>
      </c>
      <c r="J3" s="1" t="s">
        <v>28</v>
      </c>
      <c r="K3" s="1" t="s">
        <v>28</v>
      </c>
      <c r="L3">
        <v>7000000</v>
      </c>
      <c r="M3">
        <v>9160218.2400000002</v>
      </c>
      <c r="N3">
        <v>1749.3300000000002</v>
      </c>
      <c r="O3">
        <v>2052.48</v>
      </c>
      <c r="P3" s="1" t="s">
        <v>37</v>
      </c>
      <c r="Q3">
        <v>303.14999999999986</v>
      </c>
      <c r="R3">
        <v>0.17329491862598823</v>
      </c>
      <c r="S3">
        <v>2160218.2400000002</v>
      </c>
      <c r="T3">
        <v>0.30860260571428566</v>
      </c>
    </row>
    <row r="4" spans="1:20" x14ac:dyDescent="0.2">
      <c r="A4" s="1" t="s">
        <v>38</v>
      </c>
      <c r="B4" s="1" t="s">
        <v>39</v>
      </c>
      <c r="C4" s="1" t="s">
        <v>22</v>
      </c>
      <c r="D4" t="s">
        <v>28</v>
      </c>
      <c r="E4" s="1" t="s">
        <v>40</v>
      </c>
      <c r="F4" s="1" t="s">
        <v>41</v>
      </c>
      <c r="G4" s="2">
        <v>45289</v>
      </c>
      <c r="H4" s="1" t="s">
        <v>28</v>
      </c>
      <c r="I4" s="1" t="s">
        <v>28</v>
      </c>
      <c r="J4" s="1" t="s">
        <v>41</v>
      </c>
      <c r="K4" s="1" t="s">
        <v>42</v>
      </c>
      <c r="L4">
        <v>400000</v>
      </c>
      <c r="M4">
        <v>457145.09</v>
      </c>
      <c r="N4">
        <v>105.01</v>
      </c>
      <c r="O4">
        <v>102.43</v>
      </c>
      <c r="P4" s="1" t="s">
        <v>43</v>
      </c>
      <c r="Q4">
        <v>-2.5799999999999983</v>
      </c>
      <c r="R4">
        <v>-2.4569088658223048E-2</v>
      </c>
      <c r="S4">
        <v>57145.090000000026</v>
      </c>
      <c r="T4">
        <v>0.14286272500000008</v>
      </c>
    </row>
    <row r="5" spans="1:20" x14ac:dyDescent="0.2">
      <c r="A5" s="1" t="s">
        <v>44</v>
      </c>
      <c r="B5" s="1" t="s">
        <v>45</v>
      </c>
      <c r="C5" s="1" t="s">
        <v>22</v>
      </c>
      <c r="D5">
        <v>1016103922</v>
      </c>
      <c r="E5" s="1" t="s">
        <v>46</v>
      </c>
      <c r="F5" s="1" t="s">
        <v>47</v>
      </c>
      <c r="G5" s="2">
        <v>45290</v>
      </c>
      <c r="H5" s="1" t="s">
        <v>48</v>
      </c>
      <c r="I5" s="1" t="s">
        <v>49</v>
      </c>
      <c r="J5" s="1" t="s">
        <v>28</v>
      </c>
      <c r="K5" s="1" t="s">
        <v>28</v>
      </c>
      <c r="L5">
        <v>430000</v>
      </c>
      <c r="M5">
        <v>579832.96</v>
      </c>
      <c r="N5">
        <v>108.53</v>
      </c>
      <c r="O5">
        <v>129.91999999999999</v>
      </c>
      <c r="P5" s="1" t="s">
        <v>43</v>
      </c>
      <c r="Q5">
        <v>21.389999999999986</v>
      </c>
      <c r="R5">
        <v>0.19708836266470087</v>
      </c>
      <c r="S5">
        <v>149832.95999999996</v>
      </c>
      <c r="T5">
        <v>0.34844874418604643</v>
      </c>
    </row>
    <row r="6" spans="1:20" x14ac:dyDescent="0.2">
      <c r="A6" s="1" t="s">
        <v>50</v>
      </c>
      <c r="B6" s="1" t="s">
        <v>51</v>
      </c>
      <c r="C6" s="1" t="s">
        <v>22</v>
      </c>
      <c r="D6">
        <v>318674</v>
      </c>
      <c r="E6" s="1" t="s">
        <v>52</v>
      </c>
      <c r="F6" s="1" t="s">
        <v>53</v>
      </c>
      <c r="G6" s="2">
        <v>45306</v>
      </c>
      <c r="H6" s="1" t="s">
        <v>54</v>
      </c>
      <c r="I6" s="1" t="s">
        <v>55</v>
      </c>
      <c r="J6" s="1" t="s">
        <v>53</v>
      </c>
      <c r="K6" s="1" t="s">
        <v>56</v>
      </c>
      <c r="L6">
        <v>1200000</v>
      </c>
      <c r="M6">
        <v>1447172.38</v>
      </c>
      <c r="N6">
        <v>284.02999999999997</v>
      </c>
      <c r="O6">
        <v>324.26</v>
      </c>
      <c r="P6" s="1" t="s">
        <v>29</v>
      </c>
      <c r="Q6">
        <v>40.230000000000018</v>
      </c>
      <c r="R6">
        <v>0.14163996760905539</v>
      </c>
      <c r="S6">
        <v>247172.37999999989</v>
      </c>
      <c r="T6">
        <v>0.20597698333333314</v>
      </c>
    </row>
    <row r="7" spans="1:20" x14ac:dyDescent="0.2">
      <c r="A7" s="1" t="s">
        <v>57</v>
      </c>
      <c r="B7" s="1" t="s">
        <v>58</v>
      </c>
      <c r="C7" s="1" t="s">
        <v>22</v>
      </c>
      <c r="D7">
        <v>324033</v>
      </c>
      <c r="E7" s="1" t="s">
        <v>59</v>
      </c>
      <c r="F7" s="1" t="s">
        <v>28</v>
      </c>
      <c r="G7" s="2">
        <v>45379</v>
      </c>
      <c r="H7" s="1" t="s">
        <v>60</v>
      </c>
      <c r="I7" s="1" t="s">
        <v>61</v>
      </c>
      <c r="J7" s="1" t="s">
        <v>28</v>
      </c>
      <c r="K7" s="1" t="s">
        <v>28</v>
      </c>
      <c r="L7">
        <v>2200400</v>
      </c>
      <c r="M7">
        <v>2769023.72</v>
      </c>
      <c r="N7">
        <v>547.25</v>
      </c>
      <c r="O7">
        <v>620.44000000000005</v>
      </c>
      <c r="P7" s="1" t="s">
        <v>62</v>
      </c>
      <c r="Q7">
        <v>73.190000000000055</v>
      </c>
      <c r="R7">
        <v>0.13374143444495212</v>
      </c>
      <c r="S7">
        <v>568623.7200000002</v>
      </c>
      <c r="T7">
        <v>0.25841834211961467</v>
      </c>
    </row>
    <row r="8" spans="1:20" x14ac:dyDescent="0.2">
      <c r="A8" s="1" t="s">
        <v>63</v>
      </c>
      <c r="B8" s="1" t="s">
        <v>64</v>
      </c>
      <c r="C8" s="1" t="s">
        <v>22</v>
      </c>
      <c r="D8">
        <v>52517532</v>
      </c>
      <c r="E8" s="1" t="s">
        <v>65</v>
      </c>
      <c r="F8" s="1" t="s">
        <v>28</v>
      </c>
      <c r="G8" s="2">
        <v>45471</v>
      </c>
      <c r="H8" s="1" t="s">
        <v>66</v>
      </c>
      <c r="I8" s="1" t="s">
        <v>67</v>
      </c>
      <c r="J8" s="1" t="s">
        <v>28</v>
      </c>
      <c r="K8" s="1" t="s">
        <v>28</v>
      </c>
      <c r="L8">
        <v>2000000</v>
      </c>
      <c r="M8">
        <v>2477634.4499999997</v>
      </c>
      <c r="N8">
        <v>497.64</v>
      </c>
      <c r="O8">
        <v>555.15</v>
      </c>
      <c r="P8" s="1" t="s">
        <v>62</v>
      </c>
      <c r="Q8">
        <v>57.509999999999991</v>
      </c>
      <c r="R8">
        <v>0.11556546901374487</v>
      </c>
      <c r="S8">
        <v>477634.44999999972</v>
      </c>
      <c r="T8">
        <v>0.2388172249999998</v>
      </c>
    </row>
    <row r="9" spans="1:20" x14ac:dyDescent="0.2">
      <c r="A9" s="1" t="s">
        <v>68</v>
      </c>
      <c r="B9" s="1" t="s">
        <v>69</v>
      </c>
      <c r="C9" s="1" t="s">
        <v>22</v>
      </c>
      <c r="D9">
        <v>1127226782</v>
      </c>
      <c r="E9" s="1" t="s">
        <v>70</v>
      </c>
      <c r="F9" s="1" t="s">
        <v>28</v>
      </c>
      <c r="G9" s="2">
        <v>45471</v>
      </c>
      <c r="H9" s="1" t="s">
        <v>71</v>
      </c>
      <c r="I9" s="1" t="s">
        <v>72</v>
      </c>
      <c r="J9" s="1" t="s">
        <v>28</v>
      </c>
      <c r="K9" s="1" t="s">
        <v>28</v>
      </c>
      <c r="L9">
        <v>2000000</v>
      </c>
      <c r="M9">
        <v>2477500.56</v>
      </c>
      <c r="N9">
        <v>495.95</v>
      </c>
      <c r="O9">
        <v>555.12</v>
      </c>
      <c r="P9" s="1" t="s">
        <v>62</v>
      </c>
      <c r="Q9">
        <v>59.170000000000016</v>
      </c>
      <c r="R9">
        <v>0.11930638169170282</v>
      </c>
      <c r="S9">
        <v>477500.56000000006</v>
      </c>
      <c r="T9">
        <v>0.23875028000000009</v>
      </c>
    </row>
    <row r="10" spans="1:20" x14ac:dyDescent="0.2">
      <c r="A10" s="1" t="s">
        <v>73</v>
      </c>
      <c r="B10" s="1" t="s">
        <v>74</v>
      </c>
      <c r="C10" s="1" t="s">
        <v>22</v>
      </c>
      <c r="D10" t="s">
        <v>75</v>
      </c>
      <c r="E10" s="1" t="s">
        <v>76</v>
      </c>
      <c r="F10" s="1" t="s">
        <v>28</v>
      </c>
      <c r="G10" s="2">
        <v>45597</v>
      </c>
      <c r="H10" s="1" t="s">
        <v>77</v>
      </c>
      <c r="I10" s="1" t="s">
        <v>78</v>
      </c>
      <c r="J10" s="1"/>
      <c r="K10" s="1"/>
      <c r="L10">
        <v>9000000</v>
      </c>
      <c r="M10">
        <v>10828309.119999999</v>
      </c>
      <c r="N10">
        <v>2216.41</v>
      </c>
      <c r="O10">
        <v>2426.2399999999998</v>
      </c>
      <c r="P10" s="1" t="s">
        <v>37</v>
      </c>
      <c r="Q10">
        <v>209.82999999999993</v>
      </c>
      <c r="R10">
        <v>9.4671112294205439E-2</v>
      </c>
      <c r="S10">
        <v>1828309.1199999992</v>
      </c>
      <c r="T10">
        <v>0.20314545777777759</v>
      </c>
    </row>
    <row r="11" spans="1:20" x14ac:dyDescent="0.2">
      <c r="A11" s="1" t="s">
        <v>79</v>
      </c>
      <c r="B11" s="1"/>
      <c r="C11" s="1"/>
      <c r="E11" s="1"/>
      <c r="F11" s="1"/>
      <c r="G11" s="2"/>
      <c r="H11" s="1"/>
      <c r="I11" s="1"/>
      <c r="J11" s="1"/>
      <c r="K11" s="1"/>
      <c r="L11">
        <v>25570400</v>
      </c>
      <c r="M11">
        <v>31738535.240000002</v>
      </c>
      <c r="N11">
        <v>6334.1600000000008</v>
      </c>
      <c r="O11">
        <v>7111.48</v>
      </c>
      <c r="P11" s="1"/>
      <c r="Q11">
        <v>777.31999999999994</v>
      </c>
      <c r="R11">
        <v>0.12271871881985907</v>
      </c>
      <c r="S11">
        <v>6168135.2399999984</v>
      </c>
      <c r="T11">
        <v>0.24122169539780369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76494FE-130A-8F4A-90BF-E61C511615B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tabla_de_socios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Federico Peralta</dc:creator>
  <cp:lastModifiedBy>Federico Peralta</cp:lastModifiedBy>
  <dcterms:created xsi:type="dcterms:W3CDTF">2024-12-02T16:00:12Z</dcterms:created>
  <dcterms:modified xsi:type="dcterms:W3CDTF">2024-12-02T16:04:37Z</dcterms:modified>
</cp:coreProperties>
</file>